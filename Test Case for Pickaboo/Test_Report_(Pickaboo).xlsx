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2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/>
  <bookViews>
    <workbookView xWindow="135" yWindow="600" windowWidth="20730" windowHeight="10785"/>
  </bookViews>
  <sheets>
    <sheet name="Project_Name_Sprint01" sheetId="1" r:id="rId1"/>
  </sheets>
  <calcPr calcId="125725"/>
</workbook>
</file>

<file path=xl/calcChain.xml><?xml version="1.0" encoding="utf-8"?>
<calcChain xmlns="http://schemas.openxmlformats.org/spreadsheetml/2006/main">
  <c r="L30" i="1"/>
  <c r="K30"/>
  <c r="E30"/>
  <c r="B30"/>
  <c r="M29"/>
  <c r="F29"/>
  <c r="J6" s="1"/>
  <c r="M28"/>
  <c r="F28"/>
  <c r="M27"/>
  <c r="F27"/>
  <c r="M30" l="1"/>
</calcChain>
</file>

<file path=xl/comments1.xml><?xml version="1.0" encoding="utf-8"?>
<comments xmlns="http://schemas.openxmlformats.org/spreadsheetml/2006/main">
  <authors>
    <author/>
  </authors>
  <commentList>
    <comment ref="B3" authorId="0">
      <text>
        <r>
          <rPr>
            <sz val="10"/>
            <color rgb="FF000000"/>
            <rFont val="Arial"/>
          </rPr>
          <t>Specify you test run ID from TestRail here</t>
        </r>
      </text>
    </comment>
  </commentList>
</comments>
</file>

<file path=xl/sharedStrings.xml><?xml version="1.0" encoding="utf-8"?>
<sst xmlns="http://schemas.openxmlformats.org/spreadsheetml/2006/main" count="41" uniqueCount="32">
  <si>
    <t>Test Case Run</t>
  </si>
  <si>
    <t xml:space="preserve">Compo￼nent wise </t>
  </si>
  <si>
    <t>Status</t>
  </si>
  <si>
    <t>Count</t>
  </si>
  <si>
    <t>%</t>
  </si>
  <si>
    <t>Passed</t>
  </si>
  <si>
    <t>Total Bugs</t>
  </si>
  <si>
    <t>Backend</t>
  </si>
  <si>
    <t>Android</t>
  </si>
  <si>
    <t>Backoffice</t>
  </si>
  <si>
    <t>Untested</t>
  </si>
  <si>
    <t>Retest</t>
  </si>
  <si>
    <t>Failed</t>
  </si>
  <si>
    <t>Severity</t>
  </si>
  <si>
    <t>Bug-Type</t>
  </si>
  <si>
    <t>Component</t>
  </si>
  <si>
    <t>Critical</t>
  </si>
  <si>
    <t>Major</t>
  </si>
  <si>
    <t>Minor</t>
  </si>
  <si>
    <t>Low</t>
  </si>
  <si>
    <t>Subtotal</t>
  </si>
  <si>
    <t>Functional</t>
  </si>
  <si>
    <t>Visual</t>
  </si>
  <si>
    <t>Content</t>
  </si>
  <si>
    <t>Performance</t>
  </si>
  <si>
    <t>Crash</t>
  </si>
  <si>
    <t>Total</t>
  </si>
  <si>
    <t>Component vs Severity</t>
  </si>
  <si>
    <t>Component vs Bug-Type</t>
  </si>
  <si>
    <t>Sprint 1</t>
  </si>
  <si>
    <t>Warning</t>
  </si>
  <si>
    <t>Project Name: Pickaboo Reg.
Sprint - 1
No. of Features: 1
No. of test Cases: 11
Total Bugs: 5</t>
  </si>
</sst>
</file>

<file path=xl/styles.xml><?xml version="1.0" encoding="utf-8"?>
<styleSheet xmlns="http://schemas.openxmlformats.org/spreadsheetml/2006/main">
  <fonts count="6">
    <font>
      <sz val="10"/>
      <color rgb="FF000000"/>
      <name val="Arial"/>
    </font>
    <font>
      <b/>
      <sz val="14"/>
      <color theme="1"/>
      <name val="Arial"/>
    </font>
    <font>
      <sz val="10"/>
      <name val="Arial"/>
    </font>
    <font>
      <sz val="10"/>
      <color theme="1"/>
      <name val="Arial"/>
    </font>
    <font>
      <b/>
      <sz val="10"/>
      <color theme="1"/>
      <name val="Arial"/>
    </font>
    <font>
      <u/>
      <sz val="10"/>
      <color rgb="FF1155CC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93C47D"/>
        <bgColor rgb="FF93C47D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Font="1" applyAlignment="1"/>
    <xf numFmtId="0" fontId="3" fillId="0" borderId="0" xfId="0" applyFont="1" applyAlignment="1"/>
    <xf numFmtId="0" fontId="1" fillId="0" borderId="0" xfId="0" applyFont="1" applyAlignment="1">
      <alignment vertical="top" wrapText="1"/>
    </xf>
    <xf numFmtId="0" fontId="4" fillId="0" borderId="4" xfId="0" applyFont="1" applyBorder="1" applyAlignment="1">
      <alignment wrapText="1"/>
    </xf>
    <xf numFmtId="0" fontId="5" fillId="0" borderId="4" xfId="0" applyFont="1" applyBorder="1" applyAlignment="1">
      <alignment horizontal="center" wrapText="1"/>
    </xf>
    <xf numFmtId="0" fontId="4" fillId="4" borderId="4" xfId="0" applyFont="1" applyFill="1" applyBorder="1" applyAlignment="1"/>
    <xf numFmtId="0" fontId="3" fillId="4" borderId="4" xfId="0" applyFont="1" applyFill="1" applyBorder="1" applyAlignment="1"/>
    <xf numFmtId="0" fontId="4" fillId="0" borderId="4" xfId="0" applyFont="1" applyBorder="1" applyAlignment="1"/>
    <xf numFmtId="0" fontId="3" fillId="0" borderId="4" xfId="0" applyFont="1" applyBorder="1" applyAlignment="1">
      <alignment horizontal="right"/>
    </xf>
    <xf numFmtId="10" fontId="3" fillId="0" borderId="4" xfId="0" applyNumberFormat="1" applyFont="1" applyBorder="1" applyAlignment="1">
      <alignment horizontal="right"/>
    </xf>
    <xf numFmtId="0" fontId="4" fillId="3" borderId="4" xfId="0" applyFont="1" applyFill="1" applyBorder="1" applyAlignment="1">
      <alignment vertical="top" wrapText="1"/>
    </xf>
    <xf numFmtId="0" fontId="4" fillId="0" borderId="4" xfId="0" applyFont="1" applyBorder="1" applyAlignment="1">
      <alignment horizontal="right"/>
    </xf>
    <xf numFmtId="10" fontId="3" fillId="0" borderId="4" xfId="0" applyNumberFormat="1" applyFont="1" applyBorder="1" applyAlignment="1">
      <alignment horizontal="right"/>
    </xf>
    <xf numFmtId="0" fontId="4" fillId="0" borderId="4" xfId="0" applyFont="1" applyBorder="1" applyAlignment="1">
      <alignment horizontal="right" wrapText="1"/>
    </xf>
    <xf numFmtId="0" fontId="4" fillId="0" borderId="4" xfId="0" applyFont="1" applyBorder="1" applyAlignment="1">
      <alignment horizontal="right"/>
    </xf>
    <xf numFmtId="0" fontId="4" fillId="0" borderId="0" xfId="0" applyFont="1"/>
    <xf numFmtId="0" fontId="4" fillId="5" borderId="4" xfId="0" applyFont="1" applyFill="1" applyBorder="1" applyAlignment="1">
      <alignment vertical="top" wrapText="1"/>
    </xf>
    <xf numFmtId="0" fontId="3" fillId="0" borderId="0" xfId="0" applyFont="1" applyAlignment="1">
      <alignment horizontal="left"/>
    </xf>
    <xf numFmtId="0" fontId="4" fillId="2" borderId="4" xfId="0" applyFont="1" applyFill="1" applyBorder="1" applyAlignment="1">
      <alignment horizontal="right" wrapText="1"/>
    </xf>
    <xf numFmtId="0" fontId="4" fillId="3" borderId="1" xfId="0" applyFont="1" applyFill="1" applyBorder="1" applyAlignment="1">
      <alignment horizontal="center" vertical="top" wrapText="1"/>
    </xf>
    <xf numFmtId="0" fontId="2" fillId="0" borderId="2" xfId="0" applyFont="1" applyBorder="1"/>
    <xf numFmtId="0" fontId="2" fillId="0" borderId="3" xfId="0" applyFont="1" applyBorder="1"/>
    <xf numFmtId="0" fontId="1" fillId="0" borderId="1" xfId="0" applyFont="1" applyBorder="1" applyAlignment="1">
      <alignment vertical="top" wrapText="1"/>
    </xf>
    <xf numFmtId="0" fontId="1" fillId="3" borderId="1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1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Project_Name_Sprint01!$B$4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Project_Name_Sprint01!$A$5:$A$9</c:f>
              <c:strCache>
                <c:ptCount val="5"/>
                <c:pt idx="0">
                  <c:v>Passed</c:v>
                </c:pt>
                <c:pt idx="1">
                  <c:v>Warning</c:v>
                </c:pt>
                <c:pt idx="2">
                  <c:v>Untested</c:v>
                </c:pt>
                <c:pt idx="3">
                  <c:v>Retest</c:v>
                </c:pt>
                <c:pt idx="4">
                  <c:v>Failed</c:v>
                </c:pt>
              </c:strCache>
            </c:strRef>
          </c:cat>
          <c:val>
            <c:numRef>
              <c:f>Project_Name_Sprint01!$B$5:$B$9</c:f>
              <c:numCache>
                <c:formatCode>General</c:formatCode>
                <c:ptCount val="5"/>
                <c:pt idx="0">
                  <c:v>8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</c:extLst>
        </c:ser>
        <c:axId val="109368832"/>
        <c:axId val="109371392"/>
      </c:barChart>
      <c:catAx>
        <c:axId val="109368832"/>
        <c:scaling>
          <c:orientation val="minMax"/>
        </c:scaling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layout/>
        </c:title>
        <c:numFmt formatCode="General" sourceLinked="1"/>
        <c:maj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9371392"/>
        <c:crosses val="autoZero"/>
        <c:auto val="1"/>
        <c:lblAlgn val="ctr"/>
        <c:lblOffset val="100"/>
        <c:noMultiLvlLbl val="1"/>
      </c:catAx>
      <c:valAx>
        <c:axId val="109371392"/>
        <c:scaling>
          <c:orientation val="minMax"/>
        </c:scaling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layout/>
        </c:title>
        <c:numFmt formatCode="General" sourceLinked="1"/>
        <c:maj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9368832"/>
        <c:crosses val="autoZero"/>
        <c:crossBetween val="between"/>
      </c:valAx>
    </c:plotArea>
    <c:legend>
      <c:legendPos val="r"/>
      <c:layout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1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1"/>
            <c:invertIfNegative val="1"/>
            <c:spPr>
              <a:solidFill>
                <a:srgbClr val="FF0000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invertIfNegative val="1"/>
            <c:spPr>
              <a:solidFill>
                <a:srgbClr val="FF0000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Project_Name_Sprint01!$G$5:$J$5</c:f>
              <c:strCache>
                <c:ptCount val="4"/>
                <c:pt idx="0">
                  <c:v>Total Bugs</c:v>
                </c:pt>
                <c:pt idx="1">
                  <c:v>Backend</c:v>
                </c:pt>
                <c:pt idx="2">
                  <c:v>Android</c:v>
                </c:pt>
                <c:pt idx="3">
                  <c:v>Backoffice</c:v>
                </c:pt>
              </c:strCache>
            </c:strRef>
          </c:cat>
          <c:val>
            <c:numRef>
              <c:f>Project_Name_Sprint01!$G$6:$J$6</c:f>
              <c:numCache>
                <c:formatCode>General</c:formatCode>
                <c:ptCount val="4"/>
                <c:pt idx="0">
                  <c:v>5</c:v>
                </c:pt>
                <c:pt idx="1">
                  <c:v>3</c:v>
                </c:pt>
                <c:pt idx="2">
                  <c:v>2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</c:extLst>
        </c:ser>
        <c:axId val="109592960"/>
        <c:axId val="109594880"/>
      </c:barChart>
      <c:catAx>
        <c:axId val="109592960"/>
        <c:scaling>
          <c:orientation val="minMax"/>
        </c:scaling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layout/>
        </c:title>
        <c:numFmt formatCode="General" sourceLinked="1"/>
        <c:majorTickMark val="none"/>
        <c:tickLblPos val="nextTo"/>
        <c:txPr>
          <a:bodyPr/>
          <a:lstStyle/>
          <a:p>
            <a:pPr lvl="0">
              <a:defRPr b="1" i="1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9594880"/>
        <c:crosses val="autoZero"/>
        <c:auto val="1"/>
        <c:lblAlgn val="ctr"/>
        <c:lblOffset val="100"/>
        <c:noMultiLvlLbl val="1"/>
      </c:catAx>
      <c:valAx>
        <c:axId val="109594880"/>
        <c:scaling>
          <c:orientation val="minMax"/>
        </c:scaling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layout/>
        </c:title>
        <c:numFmt formatCode="General" sourceLinked="1"/>
        <c:maj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9592960"/>
        <c:crosses val="autoZero"/>
        <c:crossBetween val="between"/>
      </c:valAx>
    </c:plotArea>
    <c:legend>
      <c:legendPos val="r"/>
      <c:layout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10</xdr:row>
      <xdr:rowOff>9525</xdr:rowOff>
    </xdr:from>
    <xdr:ext cx="3743325" cy="23241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6</xdr:col>
      <xdr:colOff>9525</xdr:colOff>
      <xdr:row>8</xdr:row>
      <xdr:rowOff>66675</xdr:rowOff>
    </xdr:from>
    <xdr:ext cx="4229100" cy="2619375"/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00FF00"/>
    <outlinePr summaryBelow="0" summaryRight="0"/>
  </sheetPr>
  <dimension ref="A1:O39"/>
  <sheetViews>
    <sheetView tabSelected="1" workbookViewId="0">
      <selection activeCell="H43" sqref="H43"/>
    </sheetView>
  </sheetViews>
  <sheetFormatPr defaultColWidth="14.42578125" defaultRowHeight="15.75" customHeight="1"/>
  <sheetData>
    <row r="1" spans="1:15" ht="96.75" customHeight="1">
      <c r="A1" s="22" t="s">
        <v>31</v>
      </c>
      <c r="B1" s="20"/>
      <c r="C1" s="21"/>
      <c r="M1" s="1"/>
      <c r="N1" s="1"/>
      <c r="O1" s="1"/>
    </row>
    <row r="2" spans="1:15" ht="12.75" customHeight="1">
      <c r="A2" s="2"/>
      <c r="B2" s="2"/>
      <c r="C2" s="2"/>
      <c r="N2" s="1"/>
      <c r="O2" s="1"/>
    </row>
    <row r="3" spans="1:15" ht="15.75" customHeight="1">
      <c r="A3" s="3" t="s">
        <v>0</v>
      </c>
      <c r="B3" s="18">
        <v>11</v>
      </c>
      <c r="C3" s="4" t="s">
        <v>29</v>
      </c>
      <c r="G3" s="23" t="s">
        <v>1</v>
      </c>
      <c r="H3" s="20"/>
      <c r="I3" s="20"/>
      <c r="J3" s="21"/>
    </row>
    <row r="4" spans="1:15" ht="12.75">
      <c r="A4" s="5" t="s">
        <v>2</v>
      </c>
      <c r="B4" s="5" t="s">
        <v>3</v>
      </c>
      <c r="C4" s="6" t="s">
        <v>4</v>
      </c>
    </row>
    <row r="5" spans="1:15" ht="12.75">
      <c r="A5" s="7" t="s">
        <v>5</v>
      </c>
      <c r="B5" s="8">
        <v>8</v>
      </c>
      <c r="C5" s="9">
        <v>1</v>
      </c>
      <c r="G5" s="10" t="s">
        <v>6</v>
      </c>
      <c r="H5" s="10" t="s">
        <v>7</v>
      </c>
      <c r="I5" s="10" t="s">
        <v>8</v>
      </c>
      <c r="J5" s="10" t="s">
        <v>9</v>
      </c>
    </row>
    <row r="6" spans="1:15" ht="12.75">
      <c r="A6" s="7" t="s">
        <v>30</v>
      </c>
      <c r="B6" s="11">
        <v>1</v>
      </c>
      <c r="C6" s="12">
        <v>0</v>
      </c>
      <c r="G6" s="13">
        <v>5</v>
      </c>
      <c r="H6" s="13">
        <v>3</v>
      </c>
      <c r="I6" s="13">
        <v>2</v>
      </c>
      <c r="J6" s="13">
        <f>F29</f>
        <v>0</v>
      </c>
    </row>
    <row r="7" spans="1:15" ht="12.75">
      <c r="A7" s="7" t="s">
        <v>10</v>
      </c>
      <c r="B7" s="11">
        <v>0</v>
      </c>
      <c r="C7" s="12">
        <v>0</v>
      </c>
    </row>
    <row r="8" spans="1:15" ht="12.75">
      <c r="A8" s="7" t="s">
        <v>11</v>
      </c>
      <c r="B8" s="14">
        <v>0</v>
      </c>
      <c r="C8" s="12">
        <v>0</v>
      </c>
    </row>
    <row r="9" spans="1:15" ht="12.75">
      <c r="A9" s="7" t="s">
        <v>12</v>
      </c>
      <c r="B9" s="14">
        <v>2</v>
      </c>
      <c r="C9" s="12">
        <v>0</v>
      </c>
    </row>
    <row r="15" spans="1:15" ht="12.75">
      <c r="F15" s="15"/>
      <c r="G15" s="15"/>
      <c r="H15" s="15"/>
      <c r="I15" s="15"/>
    </row>
    <row r="25" spans="1:13" ht="12.75">
      <c r="B25" s="19" t="s">
        <v>13</v>
      </c>
      <c r="C25" s="20"/>
      <c r="D25" s="20"/>
      <c r="E25" s="21"/>
      <c r="H25" s="19" t="s">
        <v>14</v>
      </c>
      <c r="I25" s="20"/>
      <c r="J25" s="20"/>
      <c r="K25" s="20"/>
      <c r="L25" s="21"/>
    </row>
    <row r="26" spans="1:13" ht="12.75">
      <c r="A26" s="10" t="s">
        <v>15</v>
      </c>
      <c r="B26" s="16" t="s">
        <v>16</v>
      </c>
      <c r="C26" s="16" t="s">
        <v>17</v>
      </c>
      <c r="D26" s="16" t="s">
        <v>18</v>
      </c>
      <c r="E26" s="16" t="s">
        <v>19</v>
      </c>
      <c r="F26" s="17" t="s">
        <v>20</v>
      </c>
      <c r="G26" s="10" t="s">
        <v>15</v>
      </c>
      <c r="H26" s="16" t="s">
        <v>21</v>
      </c>
      <c r="I26" s="16" t="s">
        <v>22</v>
      </c>
      <c r="J26" s="16" t="s">
        <v>23</v>
      </c>
      <c r="K26" s="16" t="s">
        <v>24</v>
      </c>
      <c r="L26" s="16" t="s">
        <v>25</v>
      </c>
      <c r="M26" s="17" t="s">
        <v>20</v>
      </c>
    </row>
    <row r="27" spans="1:13" ht="12.75">
      <c r="A27" s="16" t="s">
        <v>7</v>
      </c>
      <c r="B27" s="16">
        <v>0</v>
      </c>
      <c r="C27" s="16">
        <v>2</v>
      </c>
      <c r="D27" s="16">
        <v>1</v>
      </c>
      <c r="E27" s="16">
        <v>0</v>
      </c>
      <c r="F27" s="17">
        <f t="shared" ref="F27:F29" si="0">SUM(B27:E27)</f>
        <v>3</v>
      </c>
      <c r="G27" s="16" t="s">
        <v>7</v>
      </c>
      <c r="H27" s="16">
        <v>3</v>
      </c>
      <c r="I27" s="16"/>
      <c r="J27" s="16"/>
      <c r="K27" s="16">
        <v>0</v>
      </c>
      <c r="L27" s="16">
        <v>0</v>
      </c>
      <c r="M27" s="17">
        <f t="shared" ref="M27:M29" si="1">SUM(H27:L27)</f>
        <v>3</v>
      </c>
    </row>
    <row r="28" spans="1:13" ht="12.75">
      <c r="A28" s="16" t="s">
        <v>8</v>
      </c>
      <c r="B28" s="16">
        <v>0</v>
      </c>
      <c r="C28" s="16">
        <v>0</v>
      </c>
      <c r="D28" s="16">
        <v>2</v>
      </c>
      <c r="E28" s="16">
        <v>0</v>
      </c>
      <c r="F28" s="17">
        <f t="shared" si="0"/>
        <v>2</v>
      </c>
      <c r="G28" s="16" t="s">
        <v>8</v>
      </c>
      <c r="H28" s="16">
        <v>2</v>
      </c>
      <c r="I28" s="16"/>
      <c r="J28" s="16"/>
      <c r="K28" s="16">
        <v>0</v>
      </c>
      <c r="L28" s="16">
        <v>0</v>
      </c>
      <c r="M28" s="17">
        <f t="shared" si="1"/>
        <v>2</v>
      </c>
    </row>
    <row r="29" spans="1:13" ht="12.75">
      <c r="A29" s="16" t="s">
        <v>9</v>
      </c>
      <c r="B29" s="16">
        <v>0</v>
      </c>
      <c r="C29" s="16"/>
      <c r="D29" s="16"/>
      <c r="E29" s="16">
        <v>0</v>
      </c>
      <c r="F29" s="17">
        <f t="shared" si="0"/>
        <v>0</v>
      </c>
      <c r="G29" s="16" t="s">
        <v>9</v>
      </c>
      <c r="H29" s="16"/>
      <c r="I29" s="16"/>
      <c r="J29" s="16"/>
      <c r="K29" s="16">
        <v>0</v>
      </c>
      <c r="L29" s="16">
        <v>0</v>
      </c>
      <c r="M29" s="17">
        <f t="shared" si="1"/>
        <v>0</v>
      </c>
    </row>
    <row r="30" spans="1:13" ht="12.75">
      <c r="A30" s="16" t="s">
        <v>26</v>
      </c>
      <c r="B30" s="16">
        <f t="shared" ref="B30:E30" si="2">SUM(B27:B29)</f>
        <v>0</v>
      </c>
      <c r="C30" s="16">
        <v>2</v>
      </c>
      <c r="D30" s="16">
        <v>3</v>
      </c>
      <c r="E30" s="16">
        <f t="shared" si="2"/>
        <v>0</v>
      </c>
      <c r="F30" s="17">
        <v>5</v>
      </c>
      <c r="G30" s="16" t="s">
        <v>26</v>
      </c>
      <c r="H30" s="16">
        <v>5</v>
      </c>
      <c r="I30" s="16"/>
      <c r="J30" s="16"/>
      <c r="K30" s="16">
        <f t="shared" ref="K30:M30" si="3">SUM(K27:K29)</f>
        <v>0</v>
      </c>
      <c r="L30" s="16">
        <f t="shared" si="3"/>
        <v>0</v>
      </c>
      <c r="M30" s="17">
        <f t="shared" si="3"/>
        <v>5</v>
      </c>
    </row>
    <row r="32" spans="1:13" ht="12.75">
      <c r="C32" s="19" t="s">
        <v>27</v>
      </c>
      <c r="D32" s="21"/>
      <c r="I32" s="19" t="s">
        <v>28</v>
      </c>
      <c r="J32" s="20"/>
      <c r="K32" s="21"/>
    </row>
    <row r="39" ht="12.75"/>
  </sheetData>
  <mergeCells count="6">
    <mergeCell ref="A1:C1"/>
    <mergeCell ref="G3:J3"/>
    <mergeCell ref="B25:E25"/>
    <mergeCell ref="H25:L25"/>
    <mergeCell ref="C32:D32"/>
    <mergeCell ref="I32:K32"/>
  </mergeCells>
  <pageMargins left="0.7" right="0.7" top="0.75" bottom="0.75" header="0.3" footer="0.3"/>
  <pageSetup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Project_Name_Sprint01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Md. Sabiul Islam</dc:creator>
  <cp:lastModifiedBy>Saimum Islam</cp:lastModifiedBy>
  <dcterms:created xsi:type="dcterms:W3CDTF">2021-10-03T18:14:01Z</dcterms:created>
  <dcterms:modified xsi:type="dcterms:W3CDTF">2021-12-13T19:07:39Z</dcterms:modified>
</cp:coreProperties>
</file>