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/>
  <bookViews>
    <workbookView xWindow="-120" yWindow="-120" windowWidth="20730" windowHeight="11160"/>
  </bookViews>
  <sheets>
    <sheet name="Test Cases" sheetId="3" r:id="rId1"/>
  </sheets>
  <definedNames>
    <definedName name="mm">'Test Cases'!$I$8</definedName>
    <definedName name="verify_package_Design">'Test Cases'!$I$8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3"/>
  <c r="I4" l="1"/>
  <c r="I3"/>
  <c r="I5" l="1"/>
</calcChain>
</file>

<file path=xl/sharedStrings.xml><?xml version="1.0" encoding="utf-8"?>
<sst xmlns="http://schemas.openxmlformats.org/spreadsheetml/2006/main" count="209" uniqueCount="127">
  <si>
    <t>PASS</t>
  </si>
  <si>
    <t>FAIL</t>
  </si>
  <si>
    <t>Remarks</t>
  </si>
  <si>
    <t>No</t>
  </si>
  <si>
    <t>Product Name</t>
  </si>
  <si>
    <t>TC Start Date</t>
  </si>
  <si>
    <t>TC Execution Start Date</t>
  </si>
  <si>
    <t>TEST CASE SUMMARY</t>
  </si>
  <si>
    <t>Module Name</t>
  </si>
  <si>
    <t>TC End Date</t>
  </si>
  <si>
    <t>TC Execution End Date</t>
  </si>
  <si>
    <t>Test Case Developed By</t>
  </si>
  <si>
    <t>Browser (tested)</t>
  </si>
  <si>
    <t>Developer Name (TL)</t>
  </si>
  <si>
    <t>Test Case Reviewed By</t>
  </si>
  <si>
    <t>Performance (tested)</t>
  </si>
  <si>
    <t>WARNING</t>
  </si>
  <si>
    <t>Test Executed by</t>
  </si>
  <si>
    <t>TOTAL</t>
  </si>
  <si>
    <t>Test Case ID/Name</t>
  </si>
  <si>
    <t>Test Case Description</t>
  </si>
  <si>
    <t>Expected Result</t>
  </si>
  <si>
    <t>Status</t>
  </si>
  <si>
    <t>Test Data</t>
  </si>
  <si>
    <t>Step Description</t>
  </si>
  <si>
    <t>Actual</t>
  </si>
  <si>
    <t>TC001</t>
  </si>
  <si>
    <t>TC002</t>
  </si>
  <si>
    <t>Epic</t>
  </si>
  <si>
    <t xml:space="preserve">Precondition </t>
  </si>
  <si>
    <t xml:space="preserve">comment </t>
  </si>
  <si>
    <t>Rokomari</t>
  </si>
  <si>
    <t>Registration form</t>
  </si>
  <si>
    <t>Saimum Islam</t>
  </si>
  <si>
    <t>Md. Sabiul Islam</t>
  </si>
  <si>
    <t>Not able to register</t>
  </si>
  <si>
    <t>Able to register</t>
  </si>
  <si>
    <t>TC003</t>
  </si>
  <si>
    <t>TC004</t>
  </si>
  <si>
    <t>TC005</t>
  </si>
  <si>
    <t>TC006</t>
  </si>
  <si>
    <t>TC007</t>
  </si>
  <si>
    <t>InvalidUserName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</si>
  <si>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</si>
  <si>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</si>
  <si>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</si>
  <si>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</si>
  <si>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</si>
  <si>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</si>
  <si>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</si>
  <si>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</si>
  <si>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</si>
  <si>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</si>
  <si>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</si>
  <si>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</si>
  <si>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</si>
  <si>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Saimum</t>
  </si>
  <si>
    <t>Unfilled</t>
  </si>
  <si>
    <t>Unchecked</t>
  </si>
  <si>
    <t>Checked</t>
  </si>
  <si>
    <t>1. Open the Application               (https://www.rokomari.com) in any Browser</t>
  </si>
  <si>
    <t>Validate Registering an Account by providing only Full Name</t>
  </si>
  <si>
    <t>Not Applicable</t>
  </si>
  <si>
    <t>Should not able to register with blank Full Name</t>
  </si>
  <si>
    <t>Validate Registering an Account by not  providing anything</t>
  </si>
  <si>
    <t>&amp;%$*!@</t>
  </si>
  <si>
    <t>Should not able to register with all blank fields</t>
  </si>
  <si>
    <t>Should able to register with valid Full Name</t>
  </si>
  <si>
    <t>Should not able to register with invalid Full Name</t>
  </si>
  <si>
    <t>Should not able to register with any number as Full Name</t>
  </si>
  <si>
    <t>TC021</t>
  </si>
  <si>
    <t>Validate Registering an Account by providing only Email</t>
  </si>
  <si>
    <t xml:space="preserve">1. Click on "Sign in" Button                                               2. Click on "SIGN UP" Button                                           3. Don't enter anything into all fields                      4. Click on "Create Account" Button                               </t>
  </si>
  <si>
    <t xml:space="preserve">1. Click on "Sign in" Button                                               2. Click on "SIGN UP" Button                                            3. Enter invalid name into the Full Name field                 4. Click on "Create Account" Button                               </t>
  </si>
  <si>
    <t xml:space="preserve">1. Click on "Sign in" Button                                               2. Click on "SIGN UP" Button                                            3. Enter any number into the Full Name field                4. Click on "Create Account" Button                               </t>
  </si>
  <si>
    <t xml:space="preserve">1. Click on "Sign in" Button                                               2. Click on "SIGN UP" Button                                           3. Enter any valid email into the Email  field                      4. Click on "Create Account" Button                               </t>
  </si>
  <si>
    <t>Should able to register with valid Email</t>
  </si>
  <si>
    <t>abcgmail.com</t>
  </si>
  <si>
    <t xml:space="preserve">1. Click on "Sign in" Button                                               2. Click on "SIGN UP" Button                                           3. Enter any invalid email into the Email  field                      4. Click on "Create Account" Button                               </t>
  </si>
  <si>
    <t>Should not able to register with invalid Email</t>
  </si>
  <si>
    <t>Should not able to register with blank Email</t>
  </si>
  <si>
    <t>Validate Registering an Account by providing only Phone Number</t>
  </si>
  <si>
    <t xml:space="preserve">1. Click on "Sign in" Button                                               2. Click on "SIGN UP" Button                                               3. Enter any valid phone number into the Phone Number  field                                                                                  4. Click on "Create Account" Button                               </t>
  </si>
  <si>
    <t>Should able to register with valid Phone Number</t>
  </si>
  <si>
    <t xml:space="preserve">1. Click on "Sign in" Button                                               2. Click on "SIGN UP" Button                                               3. Enter any invalid phone number into the Phone Number  field                                                                                  4. Click on "Create Account" Button                               </t>
  </si>
  <si>
    <t>152jkarTfa</t>
  </si>
  <si>
    <t>Should not able to register with invalid Phone Number</t>
  </si>
  <si>
    <t xml:space="preserve">1. Click on "Sign in" Button                                               2. Click on "SIGN UP" Button                                             3. Enter any invalid phone  number into the Phone Number field                                                             4. Click on "Create Account" Button                               </t>
  </si>
  <si>
    <t>saimumislam.sm@gmail.com</t>
  </si>
  <si>
    <t>saimumislam2@gmail.com</t>
  </si>
  <si>
    <t xml:space="preserve">1. Click on "Sign in" Button                                               2. Click on "SIGN UP" Button                                           3. Enter any used email into the Email  field                      4. Click on "Create Account" Button                               </t>
  </si>
  <si>
    <t>Should not able to register with used Email</t>
  </si>
  <si>
    <t>Validate Registering an Account by providing used Phone Number</t>
  </si>
  <si>
    <t xml:space="preserve">1. Click on "Sign in" Button                                               2. Click on "SIGN UP" Button                                             3. Enter any used phone  number into the Phone Number field                                                             4. Click on "Create Account" Button                               </t>
  </si>
  <si>
    <t>Should not able to register with blank Phone Number</t>
  </si>
  <si>
    <t>Validate Registering an Account by providing only password</t>
  </si>
  <si>
    <t xml:space="preserve">1. Click on "Sign in" Button                                               2. Click on "SIGN UP" Button                                           3. Enter any valid password into the Password field                                                                                                 4. Click on "Create Account" Button                               </t>
  </si>
  <si>
    <t xml:space="preserve">1. Click on "Sign in" Button                                               2. Click on "SIGN UP" Button                                           3. Enter any valid name into the Full Name field                                                                                4. Click on "Create Account" Button                               </t>
  </si>
  <si>
    <t xml:space="preserve">1. Click on "Sign in" Button                                               2. Click on "SIGN UP" Button                                           3. Enter any invalid password into the Password field                                                                                                 4. Click on "Create Account" Button                               </t>
  </si>
  <si>
    <t>Validate Registering an Account by providing all without Full Name</t>
  </si>
  <si>
    <t>Validate Registering an Account by providing all without Email</t>
  </si>
  <si>
    <t>Validate Registering an Account by providing all without Phone Number</t>
  </si>
  <si>
    <t>Validate Registering an Account by providing all without password</t>
  </si>
  <si>
    <t>Should not able to register with blank Password</t>
  </si>
  <si>
    <t>TC022</t>
  </si>
  <si>
    <t xml:space="preserve">1. Click on "Sign in" Button                                               2. Click on "SIGN UP" Button                                           3. Select term &amp; condition button                                                                                              4. Click on "Create Account" Button                               </t>
  </si>
  <si>
    <t xml:space="preserve">1. Click on "Sign in" Button                                               2. Click on "SIGN UP" Button                                            3. Enter new account details into all the fields (Full Name, Email, Phone Number, reCAPTCHA )                                                            4. Don't select terms &amp; condition button                    5. Click on "Create Account" Button                               </t>
  </si>
  <si>
    <t>Validate Registering an Account by providing all without terms &amp; condition</t>
  </si>
  <si>
    <t>Validate Registering an Account by providing only terms &amp; condition</t>
  </si>
  <si>
    <t xml:space="preserve">1. Click on "Sign in" Button                                               2. Click on "SIGN UP" Button                                               3. Enter new account details into all the fields (Full Name, Email, Password, Terms &amp; Condition,  reCAPTCHA )                                                                                            4. Don't enter into the Phone Number  field                        5. Click on "Create Account" Button                               </t>
  </si>
  <si>
    <t xml:space="preserve">1. Click on "Sign in" Button                                               2. Click on "SIGN UP" Button                                           3. Enter new account details into all the fields (Email, Phone Number, Password, Terms &amp; Condition, reCAPTCHA )                                                             4. Don't enter into the Full Name field                    5. Click on "Create Account" Button                               </t>
  </si>
  <si>
    <t xml:space="preserve">1. Click on "Sign in" Button                                               2. Click on "SIGN UP" Button                                            3. Enter new account details into all the fields (Full Name, Phone Number, Password, Terms &amp; Condition, reCAPTCHA )                                                                               4. Don't enter into the Email  field                             5. Click on "Create Account" Button                               </t>
  </si>
  <si>
    <t xml:space="preserve">1. Click on "Sign in" Button                                               2. Click on "SIGN UP" Button                                            3. Enter new account details into all the fields (Full Name, Email, Phone Number, Terms &amp; Condition, reCAPTCHA )                                                            4. Don't enter into the Password field                    5. Click on "Create Account" Button                               </t>
  </si>
  <si>
    <t xml:space="preserve">Validate Registering an Account by providing only  reCAPTCHA </t>
  </si>
  <si>
    <t xml:space="preserve">1. Click on "Sign in" Button                                               2. Click on "SIGN UP" Button                                           3. Select  reCAPTCHA button                                                                                              4. Click on "Create Account" Button                               </t>
  </si>
  <si>
    <t xml:space="preserve">Validate Registering an Account by providing all without  reCAPTCHA </t>
  </si>
  <si>
    <t xml:space="preserve">1. Click on "Sign in" Button                                               2. Click on "SIGN UP" Button                                            3. Enter new account details into all the fields (Full Name, Email, Phone Number, Terms &amp; Condition)                                                                                    4. Don't select  reCAPTCHA  button                            5. Click on "Create Account" Button                               </t>
  </si>
  <si>
    <t>Validate Registering an Account by providing all</t>
  </si>
  <si>
    <t xml:space="preserve">1. Click on "Sign in" Button                                               2. Click on "SIGN UP" Button                                           3. Enter valid data into all fields                                 4. Click on "Create Account" Button                               </t>
  </si>
  <si>
    <t>Should not able to register with invalid Password</t>
  </si>
  <si>
    <t>Should able to register with valid Password</t>
  </si>
  <si>
    <t>Should able to register with valid Terms &amp; Conditon</t>
  </si>
  <si>
    <t>Should not able to register with blank Terms &amp; Conditon</t>
  </si>
  <si>
    <t>Should able to register with valid reCAPTCHA</t>
  </si>
  <si>
    <t>Should not able to register with blank reCAPTCHA</t>
  </si>
  <si>
    <t>Should able to register with all valid  data</t>
  </si>
  <si>
    <t>30/4/2022</t>
  </si>
</sst>
</file>

<file path=xl/styles.xml><?xml version="1.0" encoding="utf-8"?>
<styleSheet xmlns="http://schemas.openxmlformats.org/spreadsheetml/2006/main">
  <fonts count="14">
    <font>
      <sz val="10"/>
      <color rgb="FF000000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Arial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FABF8F"/>
        <bgColor rgb="FFFABF8F"/>
      </patternFill>
    </fill>
    <fill>
      <patternFill patternType="solid">
        <fgColor rgb="FFFF0000"/>
        <bgColor rgb="FF00FF00"/>
      </patternFill>
    </fill>
    <fill>
      <patternFill patternType="solid">
        <fgColor rgb="FFFFFF00"/>
        <bgColor rgb="FFD6E3B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56">
    <xf numFmtId="0" fontId="0" fillId="0" borderId="0" xfId="0" applyFont="1" applyAlignment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5" fillId="4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vertical="center"/>
    </xf>
    <xf numFmtId="0" fontId="9" fillId="0" borderId="8" xfId="1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0" fontId="2" fillId="0" borderId="8" xfId="1" applyBorder="1" applyAlignment="1">
      <alignment vertical="center"/>
    </xf>
    <xf numFmtId="0" fontId="3" fillId="6" borderId="4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4" borderId="4" xfId="0" applyFont="1" applyFill="1" applyBorder="1" applyAlignment="1">
      <alignment vertical="center" wrapText="1"/>
    </xf>
    <xf numFmtId="12" fontId="3" fillId="4" borderId="4" xfId="0" applyNumberFormat="1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1" quotePrefix="1" applyFont="1" applyBorder="1" applyAlignment="1">
      <alignment horizontal="center" vertical="center"/>
    </xf>
    <xf numFmtId="0" fontId="8" fillId="0" borderId="1" xfId="1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2" fillId="0" borderId="8" xfId="1" applyBorder="1" applyAlignment="1">
      <alignment horizontal="center" vertical="center" wrapText="1"/>
    </xf>
    <xf numFmtId="0" fontId="2" fillId="0" borderId="8" xfId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</cellXfs>
  <cellStyles count="5">
    <cellStyle name="Hyperlink" xfId="1" builtinId="8"/>
    <cellStyle name="Hyperlink 2" xfId="3"/>
    <cellStyle name="Hyperlink 3" xfId="4"/>
    <cellStyle name="Normal" xfId="0" builtinId="0"/>
    <cellStyle name="Normal 2" xfId="2"/>
  </cellStyles>
  <dxfs count="16"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&amp;%25$*!@" TargetMode="External"/><Relationship Id="rId2" Type="http://schemas.openxmlformats.org/officeDocument/2006/relationships/hyperlink" Target="mailto:saimumislam.sm@gmail.com" TargetMode="External"/><Relationship Id="rId1" Type="http://schemas.openxmlformats.org/officeDocument/2006/relationships/hyperlink" Target="https://drive.google.com/file/d/1CCZi26yO-lsBqlEus2DRQAz8OFYbKF5E/view?usp=sharin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file/d/1wInvLLmLBlpBegXKA_ysea-pA5Oe1Zyz/view?usp=sharing" TargetMode="External"/><Relationship Id="rId4" Type="http://schemas.openxmlformats.org/officeDocument/2006/relationships/hyperlink" Target="mailto:saimumislam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>
    <tabColor rgb="FF002060"/>
  </sheetPr>
  <dimension ref="A1:J978"/>
  <sheetViews>
    <sheetView showGridLines="0" tabSelected="1" topLeftCell="B1" zoomScale="85" zoomScaleNormal="85" workbookViewId="0">
      <pane ySplit="6" topLeftCell="A7" activePane="bottomLeft" state="frozen"/>
      <selection pane="bottomLeft" activeCell="I11" sqref="I11"/>
    </sheetView>
  </sheetViews>
  <sheetFormatPr defaultColWidth="14.42578125" defaultRowHeight="15" customHeight="1"/>
  <cols>
    <col min="1" max="1" width="21.85546875" style="37" customWidth="1"/>
    <col min="2" max="2" width="18.140625" style="49" customWidth="1"/>
    <col min="3" max="3" width="19.7109375" style="37" customWidth="1"/>
    <col min="4" max="4" width="34.85546875" style="37" customWidth="1"/>
    <col min="5" max="5" width="37.85546875" style="6" customWidth="1"/>
    <col min="6" max="6" width="28.28515625" style="6" customWidth="1"/>
    <col min="7" max="7" width="30" style="6" customWidth="1"/>
    <col min="8" max="8" width="13.7109375" style="6" customWidth="1"/>
    <col min="9" max="9" width="25" style="6" customWidth="1"/>
    <col min="10" max="10" width="17.28515625" style="6" customWidth="1"/>
    <col min="11" max="16384" width="14.42578125" style="6"/>
  </cols>
  <sheetData>
    <row r="1" spans="1:10" ht="18" customHeight="1">
      <c r="A1" s="27" t="s">
        <v>4</v>
      </c>
      <c r="B1" s="24"/>
      <c r="C1" s="44" t="s">
        <v>31</v>
      </c>
      <c r="D1" s="29" t="s">
        <v>5</v>
      </c>
      <c r="E1" s="54" t="s">
        <v>126</v>
      </c>
      <c r="F1" s="5" t="s">
        <v>6</v>
      </c>
      <c r="G1" s="54" t="s">
        <v>126</v>
      </c>
      <c r="H1" s="28" t="s">
        <v>7</v>
      </c>
      <c r="I1" s="24"/>
    </row>
    <row r="2" spans="1:10" ht="12.75">
      <c r="A2" s="26" t="s">
        <v>8</v>
      </c>
      <c r="B2" s="24"/>
      <c r="C2" s="45" t="s">
        <v>32</v>
      </c>
      <c r="D2" s="29" t="s">
        <v>9</v>
      </c>
      <c r="E2" s="54" t="s">
        <v>126</v>
      </c>
      <c r="F2" s="7" t="s">
        <v>10</v>
      </c>
      <c r="G2" s="54" t="s">
        <v>126</v>
      </c>
      <c r="H2" s="4" t="s">
        <v>0</v>
      </c>
      <c r="I2" s="14">
        <f>COUNTIF(H7:H46, "PASS")</f>
        <v>20</v>
      </c>
    </row>
    <row r="3" spans="1:10" ht="18" customHeight="1">
      <c r="A3" s="26" t="s">
        <v>28</v>
      </c>
      <c r="B3" s="24"/>
      <c r="C3" s="45"/>
      <c r="D3" s="30" t="s">
        <v>11</v>
      </c>
      <c r="E3" s="3" t="s">
        <v>33</v>
      </c>
      <c r="F3" s="1" t="s">
        <v>12</v>
      </c>
      <c r="G3" s="45">
        <v>1</v>
      </c>
      <c r="H3" s="8" t="s">
        <v>1</v>
      </c>
      <c r="I3" s="15">
        <f>COUNTIF(H8:H46, "Fail")</f>
        <v>2</v>
      </c>
    </row>
    <row r="4" spans="1:10" ht="18" customHeight="1">
      <c r="A4" s="26" t="s">
        <v>13</v>
      </c>
      <c r="B4" s="24"/>
      <c r="C4" s="45"/>
      <c r="D4" s="30" t="s">
        <v>14</v>
      </c>
      <c r="E4" s="2" t="s">
        <v>34</v>
      </c>
      <c r="F4" s="1" t="s">
        <v>15</v>
      </c>
      <c r="G4" s="55" t="s">
        <v>3</v>
      </c>
      <c r="H4" s="4" t="s">
        <v>16</v>
      </c>
      <c r="I4" s="16">
        <f>COUNTIF(H8:H46, "WARNING")</f>
        <v>0</v>
      </c>
    </row>
    <row r="5" spans="1:10" ht="18" customHeight="1">
      <c r="A5" s="23" t="s">
        <v>17</v>
      </c>
      <c r="B5" s="24"/>
      <c r="C5" s="23"/>
      <c r="D5" s="25"/>
      <c r="E5" s="25"/>
      <c r="F5" s="25"/>
      <c r="G5" s="24"/>
      <c r="H5" s="9" t="s">
        <v>18</v>
      </c>
      <c r="I5" s="17">
        <f>SUM(I2:I4:I3)</f>
        <v>22</v>
      </c>
    </row>
    <row r="6" spans="1:10" ht="18" customHeight="1">
      <c r="A6" s="38" t="s">
        <v>19</v>
      </c>
      <c r="B6" s="46" t="s">
        <v>20</v>
      </c>
      <c r="C6" s="41" t="s">
        <v>29</v>
      </c>
      <c r="D6" s="31" t="s">
        <v>23</v>
      </c>
      <c r="E6" s="10" t="s">
        <v>24</v>
      </c>
      <c r="F6" s="10" t="s">
        <v>21</v>
      </c>
      <c r="G6" s="10" t="s">
        <v>25</v>
      </c>
      <c r="H6" s="10" t="s">
        <v>22</v>
      </c>
      <c r="I6" s="10" t="s">
        <v>2</v>
      </c>
      <c r="J6" s="6" t="s">
        <v>30</v>
      </c>
    </row>
    <row r="7" spans="1:10" ht="60" customHeight="1">
      <c r="A7" s="39" t="s">
        <v>26</v>
      </c>
      <c r="B7" s="47" t="s">
        <v>64</v>
      </c>
      <c r="C7" s="42" t="s">
        <v>60</v>
      </c>
      <c r="D7" s="32" t="s">
        <v>57</v>
      </c>
      <c r="E7" s="12" t="s">
        <v>72</v>
      </c>
      <c r="F7" s="11" t="s">
        <v>66</v>
      </c>
      <c r="G7" s="12" t="s">
        <v>35</v>
      </c>
      <c r="H7" s="13" t="s">
        <v>0</v>
      </c>
      <c r="I7" s="22"/>
    </row>
    <row r="8" spans="1:10" ht="60" customHeight="1">
      <c r="A8" s="39" t="s">
        <v>27</v>
      </c>
      <c r="B8" s="47" t="s">
        <v>61</v>
      </c>
      <c r="C8" s="42" t="s">
        <v>60</v>
      </c>
      <c r="D8" s="32" t="s">
        <v>56</v>
      </c>
      <c r="E8" s="12" t="s">
        <v>97</v>
      </c>
      <c r="F8" s="11" t="s">
        <v>67</v>
      </c>
      <c r="G8" s="12" t="s">
        <v>36</v>
      </c>
      <c r="H8" s="13" t="s">
        <v>0</v>
      </c>
      <c r="I8" s="22"/>
    </row>
    <row r="9" spans="1:10" ht="54.75" customHeight="1">
      <c r="A9" s="39" t="s">
        <v>37</v>
      </c>
      <c r="B9" s="47" t="s">
        <v>61</v>
      </c>
      <c r="C9" s="42" t="s">
        <v>60</v>
      </c>
      <c r="D9" s="52" t="s">
        <v>65</v>
      </c>
      <c r="E9" s="12" t="s">
        <v>73</v>
      </c>
      <c r="F9" s="11" t="s">
        <v>68</v>
      </c>
      <c r="G9" s="12" t="s">
        <v>36</v>
      </c>
      <c r="H9" s="13" t="s">
        <v>1</v>
      </c>
      <c r="I9" s="51" t="s">
        <v>42</v>
      </c>
    </row>
    <row r="10" spans="1:10" ht="54.75" customHeight="1">
      <c r="A10" s="39" t="s">
        <v>38</v>
      </c>
      <c r="B10" s="47" t="s">
        <v>61</v>
      </c>
      <c r="C10" s="42" t="s">
        <v>60</v>
      </c>
      <c r="D10" s="32">
        <v>567843</v>
      </c>
      <c r="E10" s="12" t="s">
        <v>74</v>
      </c>
      <c r="F10" s="11" t="s">
        <v>69</v>
      </c>
      <c r="G10" s="12" t="s">
        <v>36</v>
      </c>
      <c r="H10" s="13" t="s">
        <v>1</v>
      </c>
      <c r="I10" s="51" t="s">
        <v>42</v>
      </c>
    </row>
    <row r="11" spans="1:10" ht="90.75" customHeight="1">
      <c r="A11" s="39" t="s">
        <v>39</v>
      </c>
      <c r="B11" s="47" t="s">
        <v>99</v>
      </c>
      <c r="C11" s="42" t="s">
        <v>60</v>
      </c>
      <c r="D11" s="32" t="s">
        <v>62</v>
      </c>
      <c r="E11" s="12" t="s">
        <v>110</v>
      </c>
      <c r="F11" s="11" t="s">
        <v>63</v>
      </c>
      <c r="G11" s="12" t="s">
        <v>35</v>
      </c>
      <c r="H11" s="13" t="s">
        <v>0</v>
      </c>
      <c r="I11" s="18"/>
    </row>
    <row r="12" spans="1:10" ht="52.5" customHeight="1">
      <c r="A12" s="39" t="s">
        <v>40</v>
      </c>
      <c r="B12" s="47" t="s">
        <v>71</v>
      </c>
      <c r="C12" s="42" t="s">
        <v>60</v>
      </c>
      <c r="D12" s="50" t="s">
        <v>88</v>
      </c>
      <c r="E12" s="12" t="s">
        <v>75</v>
      </c>
      <c r="F12" s="11" t="s">
        <v>76</v>
      </c>
      <c r="G12" s="12" t="s">
        <v>36</v>
      </c>
      <c r="H12" s="13" t="s">
        <v>0</v>
      </c>
      <c r="I12" s="19"/>
    </row>
    <row r="13" spans="1:10" ht="63.75">
      <c r="A13" s="39" t="s">
        <v>41</v>
      </c>
      <c r="B13" s="47" t="s">
        <v>71</v>
      </c>
      <c r="C13" s="42" t="s">
        <v>60</v>
      </c>
      <c r="D13" s="53" t="s">
        <v>77</v>
      </c>
      <c r="E13" s="12" t="s">
        <v>78</v>
      </c>
      <c r="F13" s="11" t="s">
        <v>79</v>
      </c>
      <c r="G13" s="12" t="s">
        <v>35</v>
      </c>
      <c r="H13" s="13" t="s">
        <v>0</v>
      </c>
      <c r="I13" s="18"/>
    </row>
    <row r="14" spans="1:10" ht="59.25" customHeight="1">
      <c r="A14" s="39" t="s">
        <v>43</v>
      </c>
      <c r="B14" s="47" t="s">
        <v>71</v>
      </c>
      <c r="C14" s="42" t="s">
        <v>60</v>
      </c>
      <c r="D14" s="53" t="s">
        <v>89</v>
      </c>
      <c r="E14" s="12" t="s">
        <v>90</v>
      </c>
      <c r="F14" s="11" t="s">
        <v>91</v>
      </c>
      <c r="G14" s="12" t="s">
        <v>35</v>
      </c>
      <c r="H14" s="13" t="s">
        <v>0</v>
      </c>
      <c r="I14" s="18"/>
    </row>
    <row r="15" spans="1:10" ht="91.5" customHeight="1">
      <c r="A15" s="39" t="s">
        <v>44</v>
      </c>
      <c r="B15" s="47" t="s">
        <v>100</v>
      </c>
      <c r="C15" s="42" t="s">
        <v>60</v>
      </c>
      <c r="D15" s="32" t="s">
        <v>62</v>
      </c>
      <c r="E15" s="12" t="s">
        <v>111</v>
      </c>
      <c r="F15" s="11" t="s">
        <v>80</v>
      </c>
      <c r="G15" s="12" t="s">
        <v>35</v>
      </c>
      <c r="H15" s="13" t="s">
        <v>0</v>
      </c>
      <c r="I15" s="20"/>
    </row>
    <row r="16" spans="1:10" ht="63.75">
      <c r="A16" s="39" t="s">
        <v>45</v>
      </c>
      <c r="B16" s="47" t="s">
        <v>81</v>
      </c>
      <c r="C16" s="42" t="s">
        <v>60</v>
      </c>
      <c r="D16" s="32">
        <v>1521302783</v>
      </c>
      <c r="E16" s="12" t="s">
        <v>82</v>
      </c>
      <c r="F16" s="11" t="s">
        <v>83</v>
      </c>
      <c r="G16" s="12" t="s">
        <v>36</v>
      </c>
      <c r="H16" s="13" t="s">
        <v>0</v>
      </c>
      <c r="I16" s="20"/>
    </row>
    <row r="17" spans="1:9" ht="63.75">
      <c r="A17" s="39" t="s">
        <v>46</v>
      </c>
      <c r="B17" s="47" t="s">
        <v>81</v>
      </c>
      <c r="C17" s="42" t="s">
        <v>60</v>
      </c>
      <c r="D17" s="52">
        <v>6794208921</v>
      </c>
      <c r="E17" s="12" t="s">
        <v>84</v>
      </c>
      <c r="F17" s="11" t="s">
        <v>86</v>
      </c>
      <c r="G17" s="12" t="s">
        <v>35</v>
      </c>
      <c r="H17" s="13" t="s">
        <v>0</v>
      </c>
      <c r="I17" s="21"/>
    </row>
    <row r="18" spans="1:9" ht="70.5" customHeight="1">
      <c r="A18" s="39" t="s">
        <v>47</v>
      </c>
      <c r="B18" s="47" t="s">
        <v>81</v>
      </c>
      <c r="C18" s="42" t="s">
        <v>60</v>
      </c>
      <c r="D18" s="32" t="s">
        <v>85</v>
      </c>
      <c r="E18" s="12" t="s">
        <v>87</v>
      </c>
      <c r="F18" s="11" t="s">
        <v>86</v>
      </c>
      <c r="G18" s="12" t="s">
        <v>35</v>
      </c>
      <c r="H18" s="13" t="s">
        <v>0</v>
      </c>
      <c r="I18" s="20"/>
    </row>
    <row r="19" spans="1:9" ht="70.5" customHeight="1">
      <c r="A19" s="39" t="s">
        <v>48</v>
      </c>
      <c r="B19" s="47" t="s">
        <v>92</v>
      </c>
      <c r="C19" s="42" t="s">
        <v>60</v>
      </c>
      <c r="D19" s="32">
        <v>1738002113</v>
      </c>
      <c r="E19" s="12" t="s">
        <v>93</v>
      </c>
      <c r="F19" s="11" t="s">
        <v>86</v>
      </c>
      <c r="G19" s="12" t="s">
        <v>35</v>
      </c>
      <c r="H19" s="13" t="s">
        <v>0</v>
      </c>
      <c r="I19" s="20"/>
    </row>
    <row r="20" spans="1:9" ht="93" customHeight="1">
      <c r="A20" s="39" t="s">
        <v>49</v>
      </c>
      <c r="B20" s="47" t="s">
        <v>101</v>
      </c>
      <c r="C20" s="42" t="s">
        <v>60</v>
      </c>
      <c r="D20" s="32" t="s">
        <v>62</v>
      </c>
      <c r="E20" s="12" t="s">
        <v>109</v>
      </c>
      <c r="F20" s="11" t="s">
        <v>94</v>
      </c>
      <c r="G20" s="12" t="s">
        <v>35</v>
      </c>
      <c r="H20" s="13" t="s">
        <v>0</v>
      </c>
      <c r="I20" s="21"/>
    </row>
    <row r="21" spans="1:9" ht="63.75">
      <c r="A21" s="39" t="s">
        <v>50</v>
      </c>
      <c r="B21" s="47" t="s">
        <v>95</v>
      </c>
      <c r="C21" s="42" t="s">
        <v>60</v>
      </c>
      <c r="D21" s="32">
        <v>13579246</v>
      </c>
      <c r="E21" s="12" t="s">
        <v>96</v>
      </c>
      <c r="F21" s="11" t="s">
        <v>120</v>
      </c>
      <c r="G21" s="12" t="s">
        <v>36</v>
      </c>
      <c r="H21" s="13" t="s">
        <v>0</v>
      </c>
      <c r="I21" s="20"/>
    </row>
    <row r="22" spans="1:9" ht="63.75">
      <c r="A22" s="39" t="s">
        <v>51</v>
      </c>
      <c r="B22" s="47" t="s">
        <v>95</v>
      </c>
      <c r="C22" s="42" t="s">
        <v>60</v>
      </c>
      <c r="D22" s="52">
        <v>2468</v>
      </c>
      <c r="E22" s="12" t="s">
        <v>98</v>
      </c>
      <c r="F22" s="11" t="s">
        <v>119</v>
      </c>
      <c r="G22" s="12" t="s">
        <v>35</v>
      </c>
      <c r="H22" s="13" t="s">
        <v>0</v>
      </c>
      <c r="I22" s="21"/>
    </row>
    <row r="23" spans="1:9" ht="90" customHeight="1">
      <c r="A23" s="39" t="s">
        <v>52</v>
      </c>
      <c r="B23" s="47" t="s">
        <v>102</v>
      </c>
      <c r="C23" s="42" t="s">
        <v>60</v>
      </c>
      <c r="D23" s="32" t="s">
        <v>62</v>
      </c>
      <c r="E23" s="12" t="s">
        <v>112</v>
      </c>
      <c r="F23" s="11" t="s">
        <v>103</v>
      </c>
      <c r="G23" s="12" t="s">
        <v>35</v>
      </c>
      <c r="H23" s="13" t="s">
        <v>0</v>
      </c>
      <c r="I23" s="20"/>
    </row>
    <row r="24" spans="1:9" ht="57" customHeight="1">
      <c r="A24" s="39" t="s">
        <v>53</v>
      </c>
      <c r="B24" s="47" t="s">
        <v>108</v>
      </c>
      <c r="C24" s="42" t="s">
        <v>60</v>
      </c>
      <c r="D24" s="32" t="s">
        <v>59</v>
      </c>
      <c r="E24" s="12" t="s">
        <v>105</v>
      </c>
      <c r="F24" s="11" t="s">
        <v>121</v>
      </c>
      <c r="G24" s="12" t="s">
        <v>36</v>
      </c>
      <c r="H24" s="13" t="s">
        <v>0</v>
      </c>
      <c r="I24" s="21"/>
    </row>
    <row r="25" spans="1:9" ht="83.25" customHeight="1">
      <c r="A25" s="39" t="s">
        <v>54</v>
      </c>
      <c r="B25" s="47" t="s">
        <v>107</v>
      </c>
      <c r="C25" s="42" t="s">
        <v>60</v>
      </c>
      <c r="D25" s="32" t="s">
        <v>58</v>
      </c>
      <c r="E25" s="12" t="s">
        <v>106</v>
      </c>
      <c r="F25" s="11" t="s">
        <v>122</v>
      </c>
      <c r="G25" s="12" t="s">
        <v>35</v>
      </c>
      <c r="H25" s="13" t="s">
        <v>0</v>
      </c>
      <c r="I25" s="20"/>
    </row>
    <row r="26" spans="1:9" ht="51">
      <c r="A26" s="39" t="s">
        <v>55</v>
      </c>
      <c r="B26" s="47" t="s">
        <v>113</v>
      </c>
      <c r="C26" s="42" t="s">
        <v>60</v>
      </c>
      <c r="D26" s="32" t="s">
        <v>59</v>
      </c>
      <c r="E26" s="12" t="s">
        <v>114</v>
      </c>
      <c r="F26" s="11" t="s">
        <v>123</v>
      </c>
      <c r="G26" s="12" t="s">
        <v>36</v>
      </c>
      <c r="H26" s="13" t="s">
        <v>0</v>
      </c>
      <c r="I26" s="21"/>
    </row>
    <row r="27" spans="1:9" ht="90.75" customHeight="1">
      <c r="A27" s="39" t="s">
        <v>70</v>
      </c>
      <c r="B27" s="47" t="s">
        <v>115</v>
      </c>
      <c r="C27" s="42" t="s">
        <v>60</v>
      </c>
      <c r="D27" s="32" t="s">
        <v>58</v>
      </c>
      <c r="E27" s="12" t="s">
        <v>116</v>
      </c>
      <c r="F27" s="11" t="s">
        <v>124</v>
      </c>
      <c r="G27" s="12" t="s">
        <v>35</v>
      </c>
      <c r="H27" s="13" t="s">
        <v>0</v>
      </c>
      <c r="I27" s="20"/>
    </row>
    <row r="28" spans="1:9" ht="57" customHeight="1">
      <c r="A28" s="39" t="s">
        <v>104</v>
      </c>
      <c r="B28" s="47" t="s">
        <v>117</v>
      </c>
      <c r="C28" s="42" t="s">
        <v>60</v>
      </c>
      <c r="D28" s="32" t="s">
        <v>62</v>
      </c>
      <c r="E28" s="12" t="s">
        <v>118</v>
      </c>
      <c r="F28" s="11" t="s">
        <v>125</v>
      </c>
      <c r="G28" s="12" t="s">
        <v>36</v>
      </c>
      <c r="H28" s="13" t="s">
        <v>0</v>
      </c>
      <c r="I28" s="20"/>
    </row>
    <row r="29" spans="1:9" ht="12.75">
      <c r="A29" s="39"/>
      <c r="B29" s="47"/>
      <c r="C29" s="42"/>
      <c r="D29" s="35"/>
      <c r="E29" s="12"/>
      <c r="F29" s="11"/>
      <c r="G29" s="12"/>
      <c r="H29" s="13"/>
      <c r="I29" s="21"/>
    </row>
    <row r="30" spans="1:9" ht="12.75">
      <c r="A30" s="40"/>
      <c r="B30" s="48"/>
      <c r="C30" s="43"/>
      <c r="D30" s="33"/>
      <c r="E30" s="11"/>
      <c r="F30" s="12"/>
      <c r="G30" s="12"/>
      <c r="H30" s="12"/>
      <c r="I30" s="20"/>
    </row>
    <row r="31" spans="1:9" ht="12.75">
      <c r="A31" s="39"/>
      <c r="B31" s="47"/>
      <c r="C31" s="42"/>
      <c r="D31" s="33"/>
      <c r="E31" s="11"/>
      <c r="F31" s="11"/>
      <c r="G31" s="12"/>
      <c r="H31" s="12"/>
      <c r="I31" s="20"/>
    </row>
    <row r="32" spans="1:9" ht="12.75">
      <c r="A32" s="39"/>
      <c r="B32" s="47"/>
      <c r="C32" s="42"/>
      <c r="D32" s="35"/>
      <c r="E32" s="12"/>
      <c r="F32" s="11"/>
      <c r="G32" s="12"/>
      <c r="H32" s="13"/>
      <c r="I32" s="21"/>
    </row>
    <row r="33" spans="1:9" ht="15.75" customHeight="1">
      <c r="A33" s="40"/>
      <c r="B33" s="48"/>
      <c r="C33" s="43"/>
      <c r="D33" s="33"/>
      <c r="E33" s="11"/>
      <c r="F33" s="12"/>
      <c r="G33" s="12"/>
      <c r="H33" s="12"/>
      <c r="I33" s="20"/>
    </row>
    <row r="34" spans="1:9" ht="30.75" customHeight="1">
      <c r="A34" s="39"/>
      <c r="B34" s="47"/>
      <c r="C34" s="42"/>
      <c r="D34" s="33"/>
      <c r="E34" s="11"/>
      <c r="F34" s="11"/>
      <c r="G34" s="12"/>
      <c r="H34" s="12"/>
      <c r="I34" s="20"/>
    </row>
    <row r="35" spans="1:9" ht="15.75" customHeight="1">
      <c r="A35" s="39"/>
      <c r="B35" s="47"/>
      <c r="C35" s="42"/>
      <c r="D35" s="35"/>
      <c r="E35" s="12"/>
      <c r="F35" s="11"/>
      <c r="G35" s="12"/>
      <c r="H35" s="13"/>
      <c r="I35" s="21"/>
    </row>
    <row r="36" spans="1:9" ht="15.75" customHeight="1">
      <c r="A36" s="40"/>
      <c r="B36" s="48"/>
      <c r="C36" s="43"/>
      <c r="D36" s="33"/>
      <c r="E36" s="11"/>
      <c r="F36" s="12"/>
      <c r="G36" s="12"/>
      <c r="H36" s="12"/>
      <c r="I36" s="20"/>
    </row>
    <row r="37" spans="1:9" ht="30.75" customHeight="1">
      <c r="A37" s="39"/>
      <c r="B37" s="47"/>
      <c r="C37" s="42"/>
      <c r="D37" s="33"/>
      <c r="E37" s="11"/>
      <c r="F37" s="11"/>
      <c r="G37" s="12"/>
      <c r="H37" s="12"/>
      <c r="I37" s="20"/>
    </row>
    <row r="38" spans="1:9" ht="15.75" customHeight="1">
      <c r="A38" s="39"/>
      <c r="B38" s="47"/>
      <c r="C38" s="42"/>
      <c r="D38" s="34"/>
      <c r="E38" s="12"/>
      <c r="F38" s="11"/>
      <c r="G38" s="12"/>
      <c r="H38" s="13"/>
      <c r="I38" s="21"/>
    </row>
    <row r="39" spans="1:9" ht="15.75" customHeight="1">
      <c r="A39" s="40"/>
      <c r="B39" s="48"/>
      <c r="C39" s="43"/>
      <c r="D39" s="36"/>
      <c r="E39" s="11"/>
      <c r="F39" s="12"/>
      <c r="G39" s="12"/>
      <c r="H39" s="12"/>
      <c r="I39" s="20"/>
    </row>
    <row r="40" spans="1:9" ht="31.5" customHeight="1">
      <c r="A40" s="39"/>
      <c r="B40" s="47"/>
      <c r="C40" s="42"/>
      <c r="D40" s="33"/>
      <c r="E40" s="11"/>
      <c r="F40" s="11"/>
      <c r="G40" s="12"/>
      <c r="H40" s="12"/>
      <c r="I40" s="20"/>
    </row>
    <row r="41" spans="1:9" ht="15.75" customHeight="1">
      <c r="A41" s="39"/>
      <c r="B41" s="47"/>
      <c r="C41" s="42"/>
      <c r="D41" s="35"/>
      <c r="E41" s="12"/>
      <c r="F41" s="11"/>
      <c r="G41" s="12"/>
      <c r="H41" s="13"/>
      <c r="I41" s="21"/>
    </row>
    <row r="42" spans="1:9" ht="15.75" customHeight="1">
      <c r="A42" s="40"/>
      <c r="B42" s="48"/>
      <c r="C42" s="43"/>
      <c r="D42" s="33"/>
      <c r="E42" s="11"/>
      <c r="F42" s="12"/>
      <c r="G42" s="12"/>
      <c r="H42" s="12"/>
      <c r="I42" s="20"/>
    </row>
    <row r="43" spans="1:9" ht="37.5" customHeight="1">
      <c r="A43" s="39"/>
      <c r="B43" s="47"/>
      <c r="C43" s="42"/>
      <c r="D43" s="33"/>
      <c r="E43" s="11"/>
      <c r="F43" s="11"/>
      <c r="G43" s="12"/>
      <c r="H43" s="12"/>
      <c r="I43" s="20"/>
    </row>
    <row r="44" spans="1:9" ht="15.75" customHeight="1">
      <c r="A44" s="39"/>
      <c r="B44" s="47"/>
      <c r="C44" s="42"/>
      <c r="D44" s="35"/>
      <c r="E44" s="12"/>
      <c r="F44" s="11"/>
      <c r="G44" s="12"/>
      <c r="H44" s="13"/>
      <c r="I44" s="21"/>
    </row>
    <row r="45" spans="1:9" ht="15.75" customHeight="1">
      <c r="A45" s="40"/>
      <c r="B45" s="48"/>
      <c r="C45" s="43"/>
      <c r="D45" s="33"/>
      <c r="E45" s="11"/>
      <c r="F45" s="12"/>
      <c r="G45" s="12"/>
      <c r="H45" s="12"/>
      <c r="I45" s="20"/>
    </row>
    <row r="46" spans="1:9" ht="38.25" customHeight="1">
      <c r="A46" s="39"/>
      <c r="B46" s="47"/>
      <c r="C46" s="42"/>
      <c r="D46" s="33"/>
      <c r="E46" s="11"/>
      <c r="F46" s="11"/>
      <c r="G46" s="12"/>
      <c r="H46" s="12"/>
      <c r="I46" s="20"/>
    </row>
    <row r="47" spans="1:9" ht="30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7">
    <mergeCell ref="A5:B5"/>
    <mergeCell ref="C5:G5"/>
    <mergeCell ref="A4:B4"/>
    <mergeCell ref="A1:B1"/>
    <mergeCell ref="H1:I1"/>
    <mergeCell ref="A2:B2"/>
    <mergeCell ref="A3:B3"/>
  </mergeCells>
  <phoneticPr fontId="11" type="noConversion"/>
  <conditionalFormatting sqref="H32 H35 H38 H41 H44 I2:I3 H7:H29">
    <cfRule type="cellIs" dxfId="15" priority="53" operator="equal">
      <formula>"FAIL"</formula>
    </cfRule>
  </conditionalFormatting>
  <conditionalFormatting sqref="H32 H35 H38 H41 H44 I2:I3 H7:H29">
    <cfRule type="cellIs" dxfId="14" priority="54" operator="equal">
      <formula>"PASS"</formula>
    </cfRule>
  </conditionalFormatting>
  <conditionalFormatting sqref="H32 H35 H38 H41 H44 I2:I3 H7:H29">
    <cfRule type="cellIs" dxfId="13" priority="55" operator="equal">
      <formula>"WARNING"</formula>
    </cfRule>
  </conditionalFormatting>
  <conditionalFormatting sqref="H32 H35 H38 H41 H44 I2:I3 H7:H29">
    <cfRule type="containsBlanks" dxfId="12" priority="56">
      <formula>LEN(TRIM(H2))=0</formula>
    </cfRule>
  </conditionalFormatting>
  <dataValidations xWindow="1346" yWindow="406" count="1">
    <dataValidation type="list" allowBlank="1" showInputMessage="1" showErrorMessage="1" prompt="Click and enter a value from the list of items" sqref="H41 H44 H38 H35 H32 H7:H29">
      <formula1>"PASS,FAIL,WARNING"</formula1>
    </dataValidation>
  </dataValidations>
  <hyperlinks>
    <hyperlink ref="I9" r:id="rId1"/>
    <hyperlink ref="D12" r:id="rId2"/>
    <hyperlink ref="D13" r:id="rId3" display="&amp;%$*!@"/>
    <hyperlink ref="D14" r:id="rId4"/>
    <hyperlink ref="I10" r:id="rId5"/>
  </hyperlinks>
  <pageMargins left="0.7" right="0.7" top="0.75" bottom="0.75" header="0" footer="0"/>
  <pageSetup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Test Cases</vt:lpstr>
      <vt:lpstr>mm</vt:lpstr>
      <vt:lpstr>verify_package_Design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saimum</cp:lastModifiedBy>
  <cp:lastPrinted>2020-08-07T07:40:07Z</cp:lastPrinted>
  <dcterms:created xsi:type="dcterms:W3CDTF">2020-08-07T08:33:33Z</dcterms:created>
  <dcterms:modified xsi:type="dcterms:W3CDTF">2022-05-07T09:51:08Z</dcterms:modified>
</cp:coreProperties>
</file>